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xavierhue/Desktop/testunzip/"/>
    </mc:Choice>
  </mc:AlternateContent>
  <xr:revisionPtr revIDLastSave="0" documentId="13_ncr:80001_{7445C71B-21B6-3B43-ACA6-9C0768288057}" xr6:coauthVersionLast="36" xr6:coauthVersionMax="36" xr10:uidLastSave="{00000000-0000-0000-0000-000000000000}"/>
  <bookViews>
    <workbookView xWindow="0" yWindow="460" windowWidth="21600" windowHeight="16240" tabRatio="500" activeTab="5" xr2:uid="{00000000-000D-0000-FFFF-FFFF00000000}"/>
  </bookViews>
  <sheets>
    <sheet name="Labels_appnexus" sheetId="1" r:id="rId1"/>
    <sheet name="Data_appnexus" sheetId="3" r:id="rId2"/>
    <sheet name="Labels_dv360" sheetId="4" r:id="rId3"/>
    <sheet name="Data_dv360" sheetId="5" r:id="rId4"/>
    <sheet name="TCD" sheetId="6" r:id="rId5"/>
    <sheet name="Synthèse" sheetId="7" r:id="rId6"/>
  </sheets>
  <calcPr calcId="191029"/>
  <pivotCaches>
    <pivotCache cacheId="92" r:id="rId7"/>
    <pivotCache cacheId="98" r:id="rId8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" i="7" l="1"/>
  <c r="E12" i="7" s="1"/>
  <c r="D12" i="7"/>
  <c r="C13" i="7"/>
  <c r="D13" i="7"/>
  <c r="E13" i="7" s="1"/>
  <c r="D11" i="7"/>
  <c r="C11" i="7"/>
  <c r="E11" i="7" s="1"/>
  <c r="D7" i="7"/>
  <c r="C7" i="7"/>
  <c r="D6" i="7"/>
  <c r="C6" i="7"/>
  <c r="E7" i="7" l="1"/>
  <c r="E6" i="7"/>
</calcChain>
</file>

<file path=xl/sharedStrings.xml><?xml version="1.0" encoding="utf-8"?>
<sst xmlns="http://schemas.openxmlformats.org/spreadsheetml/2006/main" count="110" uniqueCount="54">
  <si>
    <t>insertion_order_id</t>
  </si>
  <si>
    <t>insertion_order_name</t>
  </si>
  <si>
    <t>line_item_id</t>
  </si>
  <si>
    <t>line_item_name</t>
  </si>
  <si>
    <t>imps</t>
  </si>
  <si>
    <t>clicks</t>
  </si>
  <si>
    <t>tradelabel</t>
  </si>
  <si>
    <t>DEVICE[INSERTION ORDER]</t>
  </si>
  <si>
    <t>Advertiser Currency</t>
  </si>
  <si>
    <t>Line Item</t>
  </si>
  <si>
    <t>Line Item ID</t>
  </si>
  <si>
    <t>Impressions</t>
  </si>
  <si>
    <t>Revenue (Adv Currency)</t>
  </si>
  <si>
    <t>Clicks</t>
  </si>
  <si>
    <t>Advertiser</t>
  </si>
  <si>
    <t>DEVICE[LINE ITEM]</t>
  </si>
  <si>
    <t>FORMAT[INSERTION ORDER]</t>
  </si>
  <si>
    <t>FORMAT[LINE ITEM]</t>
  </si>
  <si>
    <t>Étiquettes de lignes</t>
  </si>
  <si>
    <t>Somme de imps</t>
  </si>
  <si>
    <t>Somme de clicks</t>
  </si>
  <si>
    <t>Somme de Impressions</t>
  </si>
  <si>
    <t>Somme de Clicks</t>
  </si>
  <si>
    <t>Somme de Revenue (Adv Currency)</t>
  </si>
  <si>
    <t>Total général</t>
  </si>
  <si>
    <t>SOURCE[LINE ITEM]</t>
  </si>
  <si>
    <t>SOURCE[INSERTION ORDER]</t>
  </si>
  <si>
    <t>Date</t>
  </si>
  <si>
    <t>day</t>
  </si>
  <si>
    <t>Insertion Order ID</t>
  </si>
  <si>
    <t>Insertion Order</t>
  </si>
  <si>
    <t>advertiser_id</t>
  </si>
  <si>
    <t>advertiser_name</t>
  </si>
  <si>
    <t>revenue</t>
  </si>
  <si>
    <t>STRATEGIE[LINE ITEM]</t>
  </si>
  <si>
    <t>VERTICALE[INSERTION ORDER]</t>
  </si>
  <si>
    <t>DEVICE</t>
  </si>
  <si>
    <t>FORMAT</t>
  </si>
  <si>
    <t>STRATEGIE</t>
  </si>
  <si>
    <t>VERTICALE</t>
  </si>
  <si>
    <t>Somme de revenue</t>
  </si>
  <si>
    <t>DSP</t>
  </si>
  <si>
    <t>All</t>
  </si>
  <si>
    <t>Device</t>
  </si>
  <si>
    <t>Revenue</t>
  </si>
  <si>
    <t>CPM</t>
  </si>
  <si>
    <t>Stratégie</t>
  </si>
  <si>
    <t>DV360</t>
  </si>
  <si>
    <t>Appnexus</t>
  </si>
  <si>
    <t>#@Mobile@#</t>
  </si>
  <si>
    <t>#@Desktop@#</t>
  </si>
  <si>
    <t>#@Profiling@#</t>
  </si>
  <si>
    <t>#@Prospection@#</t>
  </si>
  <si>
    <t>#@Retargeting@#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</si>
</sst>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FFFFFF"/>
      </bottom>
      <diagonal/>
    </border>
  </borders>
  <cellStyleXfs count="722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0" fontId="4" fillId="0" borderId="0" xfId="0" applyFon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" fillId="2" borderId="0" xfId="721" applyFill="1" applyAlignment="1">
      <alignment horizontal="center" vertical="center"/>
    </xf>
  </cellXfs>
  <cellStyles count="722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1" builtinId="8" hidde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 hidden="1"/>
    <cellStyle name="Lien hypertexte" xfId="279" builtinId="8" hidden="1"/>
    <cellStyle name="Lien hypertexte" xfId="281" builtinId="8" hidden="1"/>
    <cellStyle name="Lien hypertexte" xfId="283" builtinId="8" hidden="1"/>
    <cellStyle name="Lien hypertexte" xfId="285" builtinId="8" hidden="1"/>
    <cellStyle name="Lien hypertexte" xfId="287" builtinId="8" hidden="1"/>
    <cellStyle name="Lien hypertexte" xfId="289" builtinId="8" hidden="1"/>
    <cellStyle name="Lien hypertexte" xfId="291" builtinId="8" hidden="1"/>
    <cellStyle name="Lien hypertexte" xfId="293" builtinId="8" hidden="1"/>
    <cellStyle name="Lien hypertexte" xfId="295" builtinId="8" hidden="1"/>
    <cellStyle name="Lien hypertexte" xfId="297" builtinId="8" hidden="1"/>
    <cellStyle name="Lien hypertexte" xfId="299" builtinId="8" hidden="1"/>
    <cellStyle name="Lien hypertexte" xfId="301" builtinId="8" hidden="1"/>
    <cellStyle name="Lien hypertexte" xfId="303" builtinId="8" hidden="1"/>
    <cellStyle name="Lien hypertexte" xfId="305" builtinId="8" hidden="1"/>
    <cellStyle name="Lien hypertexte" xfId="307" builtinId="8" hidden="1"/>
    <cellStyle name="Lien hypertexte" xfId="309" builtinId="8" hidden="1"/>
    <cellStyle name="Lien hypertexte" xfId="311" builtinId="8" hidden="1"/>
    <cellStyle name="Lien hypertexte" xfId="313" builtinId="8" hidden="1"/>
    <cellStyle name="Lien hypertexte" xfId="315" builtinId="8" hidden="1"/>
    <cellStyle name="Lien hypertexte" xfId="317" builtinId="8" hidden="1"/>
    <cellStyle name="Lien hypertexte" xfId="319" builtinId="8" hidden="1"/>
    <cellStyle name="Lien hypertexte" xfId="321" builtinId="8" hidden="1"/>
    <cellStyle name="Lien hypertexte" xfId="323" builtinId="8" hidden="1"/>
    <cellStyle name="Lien hypertexte" xfId="325" builtinId="8" hidden="1"/>
    <cellStyle name="Lien hypertexte" xfId="327" builtinId="8" hidden="1"/>
    <cellStyle name="Lien hypertexte" xfId="329" builtinId="8" hidden="1"/>
    <cellStyle name="Lien hypertexte" xfId="331" builtinId="8" hidden="1"/>
    <cellStyle name="Lien hypertexte" xfId="333" builtinId="8" hidden="1"/>
    <cellStyle name="Lien hypertexte" xfId="335" builtinId="8" hidden="1"/>
    <cellStyle name="Lien hypertexte" xfId="337" builtinId="8" hidden="1"/>
    <cellStyle name="Lien hypertexte" xfId="339" builtinId="8" hidden="1"/>
    <cellStyle name="Lien hypertexte" xfId="341" builtinId="8" hidden="1"/>
    <cellStyle name="Lien hypertexte" xfId="343" builtinId="8" hidden="1"/>
    <cellStyle name="Lien hypertexte" xfId="345" builtinId="8" hidden="1"/>
    <cellStyle name="Lien hypertexte" xfId="347" builtinId="8" hidden="1"/>
    <cellStyle name="Lien hypertexte" xfId="349" builtinId="8" hidden="1"/>
    <cellStyle name="Lien hypertexte" xfId="351" builtinId="8" hidden="1"/>
    <cellStyle name="Lien hypertexte" xfId="353" builtinId="8" hidden="1"/>
    <cellStyle name="Lien hypertexte" xfId="355" builtinId="8" hidden="1"/>
    <cellStyle name="Lien hypertexte" xfId="357" builtinId="8" hidden="1"/>
    <cellStyle name="Lien hypertexte" xfId="359" builtinId="8" hidden="1"/>
    <cellStyle name="Lien hypertexte" xfId="361" builtinId="8" hidden="1"/>
    <cellStyle name="Lien hypertexte" xfId="363" builtinId="8" hidden="1"/>
    <cellStyle name="Lien hypertexte" xfId="365" builtinId="8" hidden="1"/>
    <cellStyle name="Lien hypertexte" xfId="367" builtinId="8" hidden="1"/>
    <cellStyle name="Lien hypertexte" xfId="369" builtinId="8" hidden="1"/>
    <cellStyle name="Lien hypertexte" xfId="371" builtinId="8" hidden="1"/>
    <cellStyle name="Lien hypertexte" xfId="373" builtinId="8" hidden="1"/>
    <cellStyle name="Lien hypertexte" xfId="375" builtinId="8" hidden="1"/>
    <cellStyle name="Lien hypertexte" xfId="377" builtinId="8" hidden="1"/>
    <cellStyle name="Lien hypertexte" xfId="379" builtinId="8" hidden="1"/>
    <cellStyle name="Lien hypertexte" xfId="381" builtinId="8" hidden="1"/>
    <cellStyle name="Lien hypertexte" xfId="383" builtinId="8" hidden="1"/>
    <cellStyle name="Lien hypertexte" xfId="385" builtinId="8" hidden="1"/>
    <cellStyle name="Lien hypertexte" xfId="387" builtinId="8" hidden="1"/>
    <cellStyle name="Lien hypertexte" xfId="389" builtinId="8" hidden="1"/>
    <cellStyle name="Lien hypertexte" xfId="391" builtinId="8" hidden="1"/>
    <cellStyle name="Lien hypertexte" xfId="393" builtinId="8" hidden="1"/>
    <cellStyle name="Lien hypertexte" xfId="395" builtinId="8" hidden="1"/>
    <cellStyle name="Lien hypertexte" xfId="397" builtinId="8" hidden="1"/>
    <cellStyle name="Lien hypertexte" xfId="399" builtinId="8" hidden="1"/>
    <cellStyle name="Lien hypertexte" xfId="401" builtinId="8" hidden="1"/>
    <cellStyle name="Lien hypertexte" xfId="403" builtinId="8" hidden="1"/>
    <cellStyle name="Lien hypertexte" xfId="405" builtinId="8" hidden="1"/>
    <cellStyle name="Lien hypertexte" xfId="407" builtinId="8" hidden="1"/>
    <cellStyle name="Lien hypertexte" xfId="409" builtinId="8" hidden="1"/>
    <cellStyle name="Lien hypertexte" xfId="411" builtinId="8" hidden="1"/>
    <cellStyle name="Lien hypertexte" xfId="413" builtinId="8" hidden="1"/>
    <cellStyle name="Lien hypertexte" xfId="415" builtinId="8" hidden="1"/>
    <cellStyle name="Lien hypertexte" xfId="417" builtinId="8" hidden="1"/>
    <cellStyle name="Lien hypertexte" xfId="419" builtinId="8" hidden="1"/>
    <cellStyle name="Lien hypertexte" xfId="421" builtinId="8" hidden="1"/>
    <cellStyle name="Lien hypertexte" xfId="423" builtinId="8" hidden="1"/>
    <cellStyle name="Lien hypertexte" xfId="425" builtinId="8" hidden="1"/>
    <cellStyle name="Lien hypertexte" xfId="427" builtinId="8" hidden="1"/>
    <cellStyle name="Lien hypertexte" xfId="429" builtinId="8" hidden="1"/>
    <cellStyle name="Lien hypertexte" xfId="431" builtinId="8" hidden="1"/>
    <cellStyle name="Lien hypertexte" xfId="433" builtinId="8" hidden="1"/>
    <cellStyle name="Lien hypertexte" xfId="435" builtinId="8" hidden="1"/>
    <cellStyle name="Lien hypertexte" xfId="437" builtinId="8" hidden="1"/>
    <cellStyle name="Lien hypertexte" xfId="439" builtinId="8" hidden="1"/>
    <cellStyle name="Lien hypertexte" xfId="441" builtinId="8" hidden="1"/>
    <cellStyle name="Lien hypertexte" xfId="443" builtinId="8" hidden="1"/>
    <cellStyle name="Lien hypertexte" xfId="445" builtinId="8" hidden="1"/>
    <cellStyle name="Lien hypertexte" xfId="447" builtinId="8" hidden="1"/>
    <cellStyle name="Lien hypertexte" xfId="449" builtinId="8" hidden="1"/>
    <cellStyle name="Lien hypertexte" xfId="451" builtinId="8" hidden="1"/>
    <cellStyle name="Lien hypertexte" xfId="453" builtinId="8" hidden="1"/>
    <cellStyle name="Lien hypertexte" xfId="455" builtinId="8" hidden="1"/>
    <cellStyle name="Lien hypertexte" xfId="457" builtinId="8" hidden="1"/>
    <cellStyle name="Lien hypertexte" xfId="459" builtinId="8" hidden="1"/>
    <cellStyle name="Lien hypertexte" xfId="461" builtinId="8" hidden="1"/>
    <cellStyle name="Lien hypertexte" xfId="463" builtinId="8" hidden="1"/>
    <cellStyle name="Lien hypertexte" xfId="465" builtinId="8" hidden="1"/>
    <cellStyle name="Lien hypertexte" xfId="467" builtinId="8" hidden="1"/>
    <cellStyle name="Lien hypertexte" xfId="469" builtinId="8" hidden="1"/>
    <cellStyle name="Lien hypertexte" xfId="471" builtinId="8" hidden="1"/>
    <cellStyle name="Lien hypertexte" xfId="473" builtinId="8" hidden="1"/>
    <cellStyle name="Lien hypertexte" xfId="475" builtinId="8" hidden="1"/>
    <cellStyle name="Lien hypertexte" xfId="477" builtinId="8" hidden="1"/>
    <cellStyle name="Lien hypertexte" xfId="479" builtinId="8" hidden="1"/>
    <cellStyle name="Lien hypertexte" xfId="481" builtinId="8" hidden="1"/>
    <cellStyle name="Lien hypertexte" xfId="483" builtinId="8" hidden="1"/>
    <cellStyle name="Lien hypertexte" xfId="485" builtinId="8" hidden="1"/>
    <cellStyle name="Lien hypertexte" xfId="487" builtinId="8" hidden="1"/>
    <cellStyle name="Lien hypertexte" xfId="489" builtinId="8" hidden="1"/>
    <cellStyle name="Lien hypertexte" xfId="491" builtinId="8" hidden="1"/>
    <cellStyle name="Lien hypertexte" xfId="493" builtinId="8" hidden="1"/>
    <cellStyle name="Lien hypertexte" xfId="495" builtinId="8" hidden="1"/>
    <cellStyle name="Lien hypertexte" xfId="497" builtinId="8" hidden="1"/>
    <cellStyle name="Lien hypertexte" xfId="499" builtinId="8" hidden="1"/>
    <cellStyle name="Lien hypertexte" xfId="501" builtinId="8" hidden="1"/>
    <cellStyle name="Lien hypertexte" xfId="503" builtinId="8" hidden="1"/>
    <cellStyle name="Lien hypertexte" xfId="505" builtinId="8" hidden="1"/>
    <cellStyle name="Lien hypertexte" xfId="507" builtinId="8" hidden="1"/>
    <cellStyle name="Lien hypertexte" xfId="509" builtinId="8" hidden="1"/>
    <cellStyle name="Lien hypertexte" xfId="511" builtinId="8" hidden="1"/>
    <cellStyle name="Lien hypertexte" xfId="513" builtinId="8" hidden="1"/>
    <cellStyle name="Lien hypertexte" xfId="515" builtinId="8" hidden="1"/>
    <cellStyle name="Lien hypertexte" xfId="517" builtinId="8" hidden="1"/>
    <cellStyle name="Lien hypertexte" xfId="519" builtinId="8" hidden="1"/>
    <cellStyle name="Lien hypertexte" xfId="521" builtinId="8" hidden="1"/>
    <cellStyle name="Lien hypertexte" xfId="523" builtinId="8" hidden="1"/>
    <cellStyle name="Lien hypertexte" xfId="525" builtinId="8" hidden="1"/>
    <cellStyle name="Lien hypertexte" xfId="527" builtinId="8" hidden="1"/>
    <cellStyle name="Lien hypertexte" xfId="529" builtinId="8" hidden="1"/>
    <cellStyle name="Lien hypertexte" xfId="531" builtinId="8" hidden="1"/>
    <cellStyle name="Lien hypertexte" xfId="533" builtinId="8" hidden="1"/>
    <cellStyle name="Lien hypertexte" xfId="535" builtinId="8" hidden="1"/>
    <cellStyle name="Lien hypertexte" xfId="537" builtinId="8" hidden="1"/>
    <cellStyle name="Lien hypertexte" xfId="539" builtinId="8" hidden="1"/>
    <cellStyle name="Lien hypertexte" xfId="541" builtinId="8" hidden="1"/>
    <cellStyle name="Lien hypertexte" xfId="543" builtinId="8" hidden="1"/>
    <cellStyle name="Lien hypertexte" xfId="545" builtinId="8" hidden="1"/>
    <cellStyle name="Lien hypertexte" xfId="547" builtinId="8" hidden="1"/>
    <cellStyle name="Lien hypertexte" xfId="549" builtinId="8" hidden="1"/>
    <cellStyle name="Lien hypertexte" xfId="551" builtinId="8" hidden="1"/>
    <cellStyle name="Lien hypertexte" xfId="553" builtinId="8" hidden="1"/>
    <cellStyle name="Lien hypertexte" xfId="555" builtinId="8" hidden="1"/>
    <cellStyle name="Lien hypertexte" xfId="557" builtinId="8" hidden="1"/>
    <cellStyle name="Lien hypertexte" xfId="559" builtinId="8" hidden="1"/>
    <cellStyle name="Lien hypertexte" xfId="561" builtinId="8" hidden="1"/>
    <cellStyle name="Lien hypertexte" xfId="563" builtinId="8" hidden="1"/>
    <cellStyle name="Lien hypertexte" xfId="565" builtinId="8" hidden="1"/>
    <cellStyle name="Lien hypertexte" xfId="567" builtinId="8" hidden="1"/>
    <cellStyle name="Lien hypertexte" xfId="569" builtinId="8" hidden="1"/>
    <cellStyle name="Lien hypertexte" xfId="571" builtinId="8" hidden="1"/>
    <cellStyle name="Lien hypertexte" xfId="573" builtinId="8" hidden="1"/>
    <cellStyle name="Lien hypertexte" xfId="575" builtinId="8" hidden="1"/>
    <cellStyle name="Lien hypertexte" xfId="577" builtinId="8" hidden="1"/>
    <cellStyle name="Lien hypertexte" xfId="579" builtinId="8" hidden="1"/>
    <cellStyle name="Lien hypertexte" xfId="581" builtinId="8" hidden="1"/>
    <cellStyle name="Lien hypertexte" xfId="583" builtinId="8" hidden="1"/>
    <cellStyle name="Lien hypertexte" xfId="585" builtinId="8" hidden="1"/>
    <cellStyle name="Lien hypertexte" xfId="587" builtinId="8" hidden="1"/>
    <cellStyle name="Lien hypertexte" xfId="589" builtinId="8" hidden="1"/>
    <cellStyle name="Lien hypertexte" xfId="591" builtinId="8" hidden="1"/>
    <cellStyle name="Lien hypertexte" xfId="593" builtinId="8" hidden="1"/>
    <cellStyle name="Lien hypertexte" xfId="595" builtinId="8" hidden="1"/>
    <cellStyle name="Lien hypertexte" xfId="597" builtinId="8" hidden="1"/>
    <cellStyle name="Lien hypertexte" xfId="599" builtinId="8" hidden="1"/>
    <cellStyle name="Lien hypertexte" xfId="601" builtinId="8" hidden="1"/>
    <cellStyle name="Lien hypertexte" xfId="603" builtinId="8" hidden="1"/>
    <cellStyle name="Lien hypertexte" xfId="605" builtinId="8" hidden="1"/>
    <cellStyle name="Lien hypertexte" xfId="607" builtinId="8" hidden="1"/>
    <cellStyle name="Lien hypertexte" xfId="609" builtinId="8" hidden="1"/>
    <cellStyle name="Lien hypertexte" xfId="611" builtinId="8" hidden="1"/>
    <cellStyle name="Lien hypertexte" xfId="613" builtinId="8" hidden="1"/>
    <cellStyle name="Lien hypertexte" xfId="615" builtinId="8" hidden="1"/>
    <cellStyle name="Lien hypertexte" xfId="617" builtinId="8" hidden="1"/>
    <cellStyle name="Lien hypertexte" xfId="619" builtinId="8" hidden="1"/>
    <cellStyle name="Lien hypertexte" xfId="621" builtinId="8" hidden="1"/>
    <cellStyle name="Lien hypertexte" xfId="623" builtinId="8" hidden="1"/>
    <cellStyle name="Lien hypertexte" xfId="625" builtinId="8" hidden="1"/>
    <cellStyle name="Lien hypertexte" xfId="627" builtinId="8" hidden="1"/>
    <cellStyle name="Lien hypertexte" xfId="629" builtinId="8" hidden="1"/>
    <cellStyle name="Lien hypertexte" xfId="631" builtinId="8" hidden="1"/>
    <cellStyle name="Lien hypertexte" xfId="633" builtinId="8" hidden="1"/>
    <cellStyle name="Lien hypertexte" xfId="635" builtinId="8" hidden="1"/>
    <cellStyle name="Lien hypertexte" xfId="637" builtinId="8" hidden="1"/>
    <cellStyle name="Lien hypertexte" xfId="639" builtinId="8" hidden="1"/>
    <cellStyle name="Lien hypertexte" xfId="641" builtinId="8" hidden="1"/>
    <cellStyle name="Lien hypertexte" xfId="643" builtinId="8" hidden="1"/>
    <cellStyle name="Lien hypertexte" xfId="645" builtinId="8" hidden="1"/>
    <cellStyle name="Lien hypertexte" xfId="647" builtinId="8" hidden="1"/>
    <cellStyle name="Lien hypertexte" xfId="649" builtinId="8" hidden="1"/>
    <cellStyle name="Lien hypertexte" xfId="651" builtinId="8" hidden="1"/>
    <cellStyle name="Lien hypertexte" xfId="653" builtinId="8" hidden="1"/>
    <cellStyle name="Lien hypertexte" xfId="655" builtinId="8" hidden="1"/>
    <cellStyle name="Lien hypertexte" xfId="657" builtinId="8" hidden="1"/>
    <cellStyle name="Lien hypertexte" xfId="659" builtinId="8" hidden="1"/>
    <cellStyle name="Lien hypertexte" xfId="661" builtinId="8" hidden="1"/>
    <cellStyle name="Lien hypertexte" xfId="663" builtinId="8" hidden="1"/>
    <cellStyle name="Lien hypertexte" xfId="665" builtinId="8" hidden="1"/>
    <cellStyle name="Lien hypertexte" xfId="667" builtinId="8" hidden="1"/>
    <cellStyle name="Lien hypertexte" xfId="669" builtinId="8" hidden="1"/>
    <cellStyle name="Lien hypertexte" xfId="671" builtinId="8" hidden="1"/>
    <cellStyle name="Lien hypertexte" xfId="673" builtinId="8" hidden="1"/>
    <cellStyle name="Lien hypertexte" xfId="675" builtinId="8" hidden="1"/>
    <cellStyle name="Lien hypertexte" xfId="677" builtinId="8" hidden="1"/>
    <cellStyle name="Lien hypertexte" xfId="679" builtinId="8" hidden="1"/>
    <cellStyle name="Lien hypertexte" xfId="681" builtinId="8" hidden="1"/>
    <cellStyle name="Lien hypertexte" xfId="683" builtinId="8" hidden="1"/>
    <cellStyle name="Lien hypertexte" xfId="685" builtinId="8" hidden="1"/>
    <cellStyle name="Lien hypertexte" xfId="687" builtinId="8" hidden="1"/>
    <cellStyle name="Lien hypertexte" xfId="689" builtinId="8" hidden="1"/>
    <cellStyle name="Lien hypertexte" xfId="691" builtinId="8" hidden="1"/>
    <cellStyle name="Lien hypertexte" xfId="693" builtinId="8" hidden="1"/>
    <cellStyle name="Lien hypertexte" xfId="695" builtinId="8" hidden="1"/>
    <cellStyle name="Lien hypertexte" xfId="697" builtinId="8" hidden="1"/>
    <cellStyle name="Lien hypertexte" xfId="699" builtinId="8" hidden="1"/>
    <cellStyle name="Lien hypertexte" xfId="701" builtinId="8" hidden="1"/>
    <cellStyle name="Lien hypertexte" xfId="703" builtinId="8" hidden="1"/>
    <cellStyle name="Lien hypertexte" xfId="705" builtinId="8" hidden="1"/>
    <cellStyle name="Lien hypertexte" xfId="707" builtinId="8" hidden="1"/>
    <cellStyle name="Lien hypertexte" xfId="709" builtinId="8" hidden="1"/>
    <cellStyle name="Lien hypertexte" xfId="711" builtinId="8" hidden="1"/>
    <cellStyle name="Lien hypertexte" xfId="713" builtinId="8" hidden="1"/>
    <cellStyle name="Lien hypertexte" xfId="715" builtinId="8" hidden="1"/>
    <cellStyle name="Lien hypertexte" xfId="717" builtinId="8" hidden="1"/>
    <cellStyle name="Lien hypertexte" xfId="719" builtinId="8" hidden="1"/>
    <cellStyle name="Lien hypertexte" xfId="721" builtinId="8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2" builtinId="9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Lien hypertexte visité" xfId="278" builtinId="9" hidden="1"/>
    <cellStyle name="Lien hypertexte visité" xfId="280" builtinId="9" hidden="1"/>
    <cellStyle name="Lien hypertexte visité" xfId="282" builtinId="9" hidden="1"/>
    <cellStyle name="Lien hypertexte visité" xfId="284" builtinId="9" hidden="1"/>
    <cellStyle name="Lien hypertexte visité" xfId="286" builtinId="9" hidden="1"/>
    <cellStyle name="Lien hypertexte visité" xfId="288" builtinId="9" hidden="1"/>
    <cellStyle name="Lien hypertexte visité" xfId="290" builtinId="9" hidden="1"/>
    <cellStyle name="Lien hypertexte visité" xfId="292" builtinId="9" hidden="1"/>
    <cellStyle name="Lien hypertexte visité" xfId="294" builtinId="9" hidden="1"/>
    <cellStyle name="Lien hypertexte visité" xfId="296" builtinId="9" hidden="1"/>
    <cellStyle name="Lien hypertexte visité" xfId="298" builtinId="9" hidden="1"/>
    <cellStyle name="Lien hypertexte visité" xfId="300" builtinId="9" hidden="1"/>
    <cellStyle name="Lien hypertexte visité" xfId="302" builtinId="9" hidden="1"/>
    <cellStyle name="Lien hypertexte visité" xfId="304" builtinId="9" hidden="1"/>
    <cellStyle name="Lien hypertexte visité" xfId="306" builtinId="9" hidden="1"/>
    <cellStyle name="Lien hypertexte visité" xfId="308" builtinId="9" hidden="1"/>
    <cellStyle name="Lien hypertexte visité" xfId="310" builtinId="9" hidden="1"/>
    <cellStyle name="Lien hypertexte visité" xfId="312" builtinId="9" hidden="1"/>
    <cellStyle name="Lien hypertexte visité" xfId="314" builtinId="9" hidden="1"/>
    <cellStyle name="Lien hypertexte visité" xfId="316" builtinId="9" hidden="1"/>
    <cellStyle name="Lien hypertexte visité" xfId="318" builtinId="9" hidden="1"/>
    <cellStyle name="Lien hypertexte visité" xfId="320" builtinId="9" hidden="1"/>
    <cellStyle name="Lien hypertexte visité" xfId="322" builtinId="9" hidden="1"/>
    <cellStyle name="Lien hypertexte visité" xfId="324" builtinId="9" hidden="1"/>
    <cellStyle name="Lien hypertexte visité" xfId="326" builtinId="9" hidden="1"/>
    <cellStyle name="Lien hypertexte visité" xfId="328" builtinId="9" hidden="1"/>
    <cellStyle name="Lien hypertexte visité" xfId="330" builtinId="9" hidden="1"/>
    <cellStyle name="Lien hypertexte visité" xfId="332" builtinId="9" hidden="1"/>
    <cellStyle name="Lien hypertexte visité" xfId="334" builtinId="9" hidden="1"/>
    <cellStyle name="Lien hypertexte visité" xfId="336" builtinId="9" hidden="1"/>
    <cellStyle name="Lien hypertexte visité" xfId="338" builtinId="9" hidden="1"/>
    <cellStyle name="Lien hypertexte visité" xfId="340" builtinId="9" hidden="1"/>
    <cellStyle name="Lien hypertexte visité" xfId="342" builtinId="9" hidden="1"/>
    <cellStyle name="Lien hypertexte visité" xfId="344" builtinId="9" hidden="1"/>
    <cellStyle name="Lien hypertexte visité" xfId="346" builtinId="9" hidden="1"/>
    <cellStyle name="Lien hypertexte visité" xfId="348" builtinId="9" hidden="1"/>
    <cellStyle name="Lien hypertexte visité" xfId="350" builtinId="9" hidden="1"/>
    <cellStyle name="Lien hypertexte visité" xfId="352" builtinId="9" hidden="1"/>
    <cellStyle name="Lien hypertexte visité" xfId="354" builtinId="9" hidden="1"/>
    <cellStyle name="Lien hypertexte visité" xfId="356" builtinId="9" hidden="1"/>
    <cellStyle name="Lien hypertexte visité" xfId="358" builtinId="9" hidden="1"/>
    <cellStyle name="Lien hypertexte visité" xfId="360" builtinId="9" hidden="1"/>
    <cellStyle name="Lien hypertexte visité" xfId="362" builtinId="9" hidden="1"/>
    <cellStyle name="Lien hypertexte visité" xfId="364" builtinId="9" hidden="1"/>
    <cellStyle name="Lien hypertexte visité" xfId="366" builtinId="9" hidden="1"/>
    <cellStyle name="Lien hypertexte visité" xfId="368" builtinId="9" hidden="1"/>
    <cellStyle name="Lien hypertexte visité" xfId="370" builtinId="9" hidden="1"/>
    <cellStyle name="Lien hypertexte visité" xfId="372" builtinId="9" hidden="1"/>
    <cellStyle name="Lien hypertexte visité" xfId="374" builtinId="9" hidden="1"/>
    <cellStyle name="Lien hypertexte visité" xfId="376" builtinId="9" hidden="1"/>
    <cellStyle name="Lien hypertexte visité" xfId="378" builtinId="9" hidden="1"/>
    <cellStyle name="Lien hypertexte visité" xfId="380" builtinId="9" hidden="1"/>
    <cellStyle name="Lien hypertexte visité" xfId="382" builtinId="9" hidden="1"/>
    <cellStyle name="Lien hypertexte visité" xfId="384" builtinId="9" hidden="1"/>
    <cellStyle name="Lien hypertexte visité" xfId="386" builtinId="9" hidden="1"/>
    <cellStyle name="Lien hypertexte visité" xfId="388" builtinId="9" hidden="1"/>
    <cellStyle name="Lien hypertexte visité" xfId="390" builtinId="9" hidden="1"/>
    <cellStyle name="Lien hypertexte visité" xfId="392" builtinId="9" hidden="1"/>
    <cellStyle name="Lien hypertexte visité" xfId="394" builtinId="9" hidden="1"/>
    <cellStyle name="Lien hypertexte visité" xfId="396" builtinId="9" hidden="1"/>
    <cellStyle name="Lien hypertexte visité" xfId="398" builtinId="9" hidden="1"/>
    <cellStyle name="Lien hypertexte visité" xfId="400" builtinId="9" hidden="1"/>
    <cellStyle name="Lien hypertexte visité" xfId="402" builtinId="9" hidden="1"/>
    <cellStyle name="Lien hypertexte visité" xfId="404" builtinId="9" hidden="1"/>
    <cellStyle name="Lien hypertexte visité" xfId="406" builtinId="9" hidden="1"/>
    <cellStyle name="Lien hypertexte visité" xfId="408" builtinId="9" hidden="1"/>
    <cellStyle name="Lien hypertexte visité" xfId="410" builtinId="9" hidden="1"/>
    <cellStyle name="Lien hypertexte visité" xfId="412" builtinId="9" hidden="1"/>
    <cellStyle name="Lien hypertexte visité" xfId="414" builtinId="9" hidden="1"/>
    <cellStyle name="Lien hypertexte visité" xfId="416" builtinId="9" hidden="1"/>
    <cellStyle name="Lien hypertexte visité" xfId="418" builtinId="9" hidden="1"/>
    <cellStyle name="Lien hypertexte visité" xfId="420" builtinId="9" hidden="1"/>
    <cellStyle name="Lien hypertexte visité" xfId="422" builtinId="9" hidden="1"/>
    <cellStyle name="Lien hypertexte visité" xfId="424" builtinId="9" hidden="1"/>
    <cellStyle name="Lien hypertexte visité" xfId="426" builtinId="9" hidden="1"/>
    <cellStyle name="Lien hypertexte visité" xfId="428" builtinId="9" hidden="1"/>
    <cellStyle name="Lien hypertexte visité" xfId="430" builtinId="9" hidden="1"/>
    <cellStyle name="Lien hypertexte visité" xfId="432" builtinId="9" hidden="1"/>
    <cellStyle name="Lien hypertexte visité" xfId="434" builtinId="9" hidden="1"/>
    <cellStyle name="Lien hypertexte visité" xfId="436" builtinId="9" hidden="1"/>
    <cellStyle name="Lien hypertexte visité" xfId="438" builtinId="9" hidden="1"/>
    <cellStyle name="Lien hypertexte visité" xfId="440" builtinId="9" hidden="1"/>
    <cellStyle name="Lien hypertexte visité" xfId="442" builtinId="9" hidden="1"/>
    <cellStyle name="Lien hypertexte visité" xfId="444" builtinId="9" hidden="1"/>
    <cellStyle name="Lien hypertexte visité" xfId="446" builtinId="9" hidden="1"/>
    <cellStyle name="Lien hypertexte visité" xfId="448" builtinId="9" hidden="1"/>
    <cellStyle name="Lien hypertexte visité" xfId="450" builtinId="9" hidden="1"/>
    <cellStyle name="Lien hypertexte visité" xfId="452" builtinId="9" hidden="1"/>
    <cellStyle name="Lien hypertexte visité" xfId="454" builtinId="9" hidden="1"/>
    <cellStyle name="Lien hypertexte visité" xfId="456" builtinId="9" hidden="1"/>
    <cellStyle name="Lien hypertexte visité" xfId="458" builtinId="9" hidden="1"/>
    <cellStyle name="Lien hypertexte visité" xfId="460" builtinId="9" hidden="1"/>
    <cellStyle name="Lien hypertexte visité" xfId="462" builtinId="9" hidden="1"/>
    <cellStyle name="Lien hypertexte visité" xfId="464" builtinId="9" hidden="1"/>
    <cellStyle name="Lien hypertexte visité" xfId="466" builtinId="9" hidden="1"/>
    <cellStyle name="Lien hypertexte visité" xfId="468" builtinId="9" hidden="1"/>
    <cellStyle name="Lien hypertexte visité" xfId="470" builtinId="9" hidden="1"/>
    <cellStyle name="Lien hypertexte visité" xfId="472" builtinId="9" hidden="1"/>
    <cellStyle name="Lien hypertexte visité" xfId="474" builtinId="9" hidden="1"/>
    <cellStyle name="Lien hypertexte visité" xfId="476" builtinId="9" hidden="1"/>
    <cellStyle name="Lien hypertexte visité" xfId="478" builtinId="9" hidden="1"/>
    <cellStyle name="Lien hypertexte visité" xfId="480" builtinId="9" hidden="1"/>
    <cellStyle name="Lien hypertexte visité" xfId="482" builtinId="9" hidden="1"/>
    <cellStyle name="Lien hypertexte visité" xfId="484" builtinId="9" hidden="1"/>
    <cellStyle name="Lien hypertexte visité" xfId="486" builtinId="9" hidden="1"/>
    <cellStyle name="Lien hypertexte visité" xfId="488" builtinId="9" hidden="1"/>
    <cellStyle name="Lien hypertexte visité" xfId="490" builtinId="9" hidden="1"/>
    <cellStyle name="Lien hypertexte visité" xfId="492" builtinId="9" hidden="1"/>
    <cellStyle name="Lien hypertexte visité" xfId="494" builtinId="9" hidden="1"/>
    <cellStyle name="Lien hypertexte visité" xfId="496" builtinId="9" hidden="1"/>
    <cellStyle name="Lien hypertexte visité" xfId="498" builtinId="9" hidden="1"/>
    <cellStyle name="Lien hypertexte visité" xfId="500" builtinId="9" hidden="1"/>
    <cellStyle name="Lien hypertexte visité" xfId="502" builtinId="9" hidden="1"/>
    <cellStyle name="Lien hypertexte visité" xfId="504" builtinId="9" hidden="1"/>
    <cellStyle name="Lien hypertexte visité" xfId="506" builtinId="9" hidden="1"/>
    <cellStyle name="Lien hypertexte visité" xfId="508" builtinId="9" hidden="1"/>
    <cellStyle name="Lien hypertexte visité" xfId="510" builtinId="9" hidden="1"/>
    <cellStyle name="Lien hypertexte visité" xfId="512" builtinId="9" hidden="1"/>
    <cellStyle name="Lien hypertexte visité" xfId="514" builtinId="9" hidden="1"/>
    <cellStyle name="Lien hypertexte visité" xfId="516" builtinId="9" hidden="1"/>
    <cellStyle name="Lien hypertexte visité" xfId="518" builtinId="9" hidden="1"/>
    <cellStyle name="Lien hypertexte visité" xfId="520" builtinId="9" hidden="1"/>
    <cellStyle name="Lien hypertexte visité" xfId="522" builtinId="9" hidden="1"/>
    <cellStyle name="Lien hypertexte visité" xfId="524" builtinId="9" hidden="1"/>
    <cellStyle name="Lien hypertexte visité" xfId="526" builtinId="9" hidden="1"/>
    <cellStyle name="Lien hypertexte visité" xfId="528" builtinId="9" hidden="1"/>
    <cellStyle name="Lien hypertexte visité" xfId="530" builtinId="9" hidden="1"/>
    <cellStyle name="Lien hypertexte visité" xfId="532" builtinId="9" hidden="1"/>
    <cellStyle name="Lien hypertexte visité" xfId="534" builtinId="9" hidden="1"/>
    <cellStyle name="Lien hypertexte visité" xfId="536" builtinId="9" hidden="1"/>
    <cellStyle name="Lien hypertexte visité" xfId="538" builtinId="9" hidden="1"/>
    <cellStyle name="Lien hypertexte visité" xfId="540" builtinId="9" hidden="1"/>
    <cellStyle name="Lien hypertexte visité" xfId="542" builtinId="9" hidden="1"/>
    <cellStyle name="Lien hypertexte visité" xfId="544" builtinId="9" hidden="1"/>
    <cellStyle name="Lien hypertexte visité" xfId="546" builtinId="9" hidden="1"/>
    <cellStyle name="Lien hypertexte visité" xfId="548" builtinId="9" hidden="1"/>
    <cellStyle name="Lien hypertexte visité" xfId="550" builtinId="9" hidden="1"/>
    <cellStyle name="Lien hypertexte visité" xfId="552" builtinId="9" hidden="1"/>
    <cellStyle name="Lien hypertexte visité" xfId="554" builtinId="9" hidden="1"/>
    <cellStyle name="Lien hypertexte visité" xfId="556" builtinId="9" hidden="1"/>
    <cellStyle name="Lien hypertexte visité" xfId="558" builtinId="9" hidden="1"/>
    <cellStyle name="Lien hypertexte visité" xfId="560" builtinId="9" hidden="1"/>
    <cellStyle name="Lien hypertexte visité" xfId="562" builtinId="9" hidden="1"/>
    <cellStyle name="Lien hypertexte visité" xfId="564" builtinId="9" hidden="1"/>
    <cellStyle name="Lien hypertexte visité" xfId="566" builtinId="9" hidden="1"/>
    <cellStyle name="Lien hypertexte visité" xfId="568" builtinId="9" hidden="1"/>
    <cellStyle name="Lien hypertexte visité" xfId="570" builtinId="9" hidden="1"/>
    <cellStyle name="Lien hypertexte visité" xfId="572" builtinId="9" hidden="1"/>
    <cellStyle name="Lien hypertexte visité" xfId="574" builtinId="9" hidden="1"/>
    <cellStyle name="Lien hypertexte visité" xfId="576" builtinId="9" hidden="1"/>
    <cellStyle name="Lien hypertexte visité" xfId="578" builtinId="9" hidden="1"/>
    <cellStyle name="Lien hypertexte visité" xfId="580" builtinId="9" hidden="1"/>
    <cellStyle name="Lien hypertexte visité" xfId="582" builtinId="9" hidden="1"/>
    <cellStyle name="Lien hypertexte visité" xfId="584" builtinId="9" hidden="1"/>
    <cellStyle name="Lien hypertexte visité" xfId="586" builtinId="9" hidden="1"/>
    <cellStyle name="Lien hypertexte visité" xfId="588" builtinId="9" hidden="1"/>
    <cellStyle name="Lien hypertexte visité" xfId="590" builtinId="9" hidden="1"/>
    <cellStyle name="Lien hypertexte visité" xfId="592" builtinId="9" hidden="1"/>
    <cellStyle name="Lien hypertexte visité" xfId="594" builtinId="9" hidden="1"/>
    <cellStyle name="Lien hypertexte visité" xfId="596" builtinId="9" hidden="1"/>
    <cellStyle name="Lien hypertexte visité" xfId="598" builtinId="9" hidden="1"/>
    <cellStyle name="Lien hypertexte visité" xfId="600" builtinId="9" hidden="1"/>
    <cellStyle name="Lien hypertexte visité" xfId="602" builtinId="9" hidden="1"/>
    <cellStyle name="Lien hypertexte visité" xfId="604" builtinId="9" hidden="1"/>
    <cellStyle name="Lien hypertexte visité" xfId="606" builtinId="9" hidden="1"/>
    <cellStyle name="Lien hypertexte visité" xfId="608" builtinId="9" hidden="1"/>
    <cellStyle name="Lien hypertexte visité" xfId="610" builtinId="9" hidden="1"/>
    <cellStyle name="Lien hypertexte visité" xfId="612" builtinId="9" hidden="1"/>
    <cellStyle name="Lien hypertexte visité" xfId="614" builtinId="9" hidden="1"/>
    <cellStyle name="Lien hypertexte visité" xfId="616" builtinId="9" hidden="1"/>
    <cellStyle name="Lien hypertexte visité" xfId="618" builtinId="9" hidden="1"/>
    <cellStyle name="Lien hypertexte visité" xfId="620" builtinId="9" hidden="1"/>
    <cellStyle name="Lien hypertexte visité" xfId="622" builtinId="9" hidden="1"/>
    <cellStyle name="Lien hypertexte visité" xfId="624" builtinId="9" hidden="1"/>
    <cellStyle name="Lien hypertexte visité" xfId="626" builtinId="9" hidden="1"/>
    <cellStyle name="Lien hypertexte visité" xfId="628" builtinId="9" hidden="1"/>
    <cellStyle name="Lien hypertexte visité" xfId="630" builtinId="9" hidden="1"/>
    <cellStyle name="Lien hypertexte visité" xfId="632" builtinId="9" hidden="1"/>
    <cellStyle name="Lien hypertexte visité" xfId="634" builtinId="9" hidden="1"/>
    <cellStyle name="Lien hypertexte visité" xfId="636" builtinId="9" hidden="1"/>
    <cellStyle name="Lien hypertexte visité" xfId="638" builtinId="9" hidden="1"/>
    <cellStyle name="Lien hypertexte visité" xfId="640" builtinId="9" hidden="1"/>
    <cellStyle name="Lien hypertexte visité" xfId="642" builtinId="9" hidden="1"/>
    <cellStyle name="Lien hypertexte visité" xfId="644" builtinId="9" hidden="1"/>
    <cellStyle name="Lien hypertexte visité" xfId="646" builtinId="9" hidden="1"/>
    <cellStyle name="Lien hypertexte visité" xfId="648" builtinId="9" hidden="1"/>
    <cellStyle name="Lien hypertexte visité" xfId="650" builtinId="9" hidden="1"/>
    <cellStyle name="Lien hypertexte visité" xfId="652" builtinId="9" hidden="1"/>
    <cellStyle name="Lien hypertexte visité" xfId="654" builtinId="9" hidden="1"/>
    <cellStyle name="Lien hypertexte visité" xfId="656" builtinId="9" hidden="1"/>
    <cellStyle name="Lien hypertexte visité" xfId="658" builtinId="9" hidden="1"/>
    <cellStyle name="Lien hypertexte visité" xfId="660" builtinId="9" hidden="1"/>
    <cellStyle name="Lien hypertexte visité" xfId="662" builtinId="9" hidden="1"/>
    <cellStyle name="Lien hypertexte visité" xfId="664" builtinId="9" hidden="1"/>
    <cellStyle name="Lien hypertexte visité" xfId="666" builtinId="9" hidden="1"/>
    <cellStyle name="Lien hypertexte visité" xfId="668" builtinId="9" hidden="1"/>
    <cellStyle name="Lien hypertexte visité" xfId="670" builtinId="9" hidden="1"/>
    <cellStyle name="Lien hypertexte visité" xfId="672" builtinId="9" hidden="1"/>
    <cellStyle name="Lien hypertexte visité" xfId="674" builtinId="9" hidden="1"/>
    <cellStyle name="Lien hypertexte visité" xfId="676" builtinId="9" hidden="1"/>
    <cellStyle name="Lien hypertexte visité" xfId="678" builtinId="9" hidden="1"/>
    <cellStyle name="Lien hypertexte visité" xfId="680" builtinId="9" hidden="1"/>
    <cellStyle name="Lien hypertexte visité" xfId="682" builtinId="9" hidden="1"/>
    <cellStyle name="Lien hypertexte visité" xfId="684" builtinId="9" hidden="1"/>
    <cellStyle name="Lien hypertexte visité" xfId="686" builtinId="9" hidden="1"/>
    <cellStyle name="Lien hypertexte visité" xfId="688" builtinId="9" hidden="1"/>
    <cellStyle name="Lien hypertexte visité" xfId="690" builtinId="9" hidden="1"/>
    <cellStyle name="Lien hypertexte visité" xfId="692" builtinId="9" hidden="1"/>
    <cellStyle name="Lien hypertexte visité" xfId="694" builtinId="9" hidden="1"/>
    <cellStyle name="Lien hypertexte visité" xfId="696" builtinId="9" hidden="1"/>
    <cellStyle name="Lien hypertexte visité" xfId="698" builtinId="9" hidden="1"/>
    <cellStyle name="Lien hypertexte visité" xfId="700" builtinId="9" hidden="1"/>
    <cellStyle name="Lien hypertexte visité" xfId="702" builtinId="9" hidden="1"/>
    <cellStyle name="Lien hypertexte visité" xfId="704" builtinId="9" hidden="1"/>
    <cellStyle name="Lien hypertexte visité" xfId="706" builtinId="9" hidden="1"/>
    <cellStyle name="Lien hypertexte visité" xfId="708" builtinId="9" hidden="1"/>
    <cellStyle name="Lien hypertexte visité" xfId="710" builtinId="9" hidden="1"/>
    <cellStyle name="Lien hypertexte visité" xfId="712" builtinId="9" hidden="1"/>
    <cellStyle name="Lien hypertexte visité" xfId="714" builtinId="9" hidden="1"/>
    <cellStyle name="Lien hypertexte visité" xfId="716" builtinId="9" hidden="1"/>
    <cellStyle name="Lien hypertexte visité" xfId="718" builtinId="9" hidden="1"/>
    <cellStyle name="Lien hypertexte visité" xfId="720" builtinId="9" hidden="1"/>
    <cellStyle name="Normal" xfId="0" builtinId="0"/>
  </cellStyles>
  <dxfs count="1">
    <dxf>
      <border outline="0">
        <bottom style="thick">
          <color rgb="FFFFFFFF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Xavier HUE" refreshedDate="43711.453875578707" createdVersion="6" refreshedVersion="6" minRefreshableVersion="3" recordCount="1" xr:uid="{0C48CC35-41DB-9144-875F-642EC8D41A46}">
  <cacheSource type="worksheet">
    <worksheetSource name="Data_dv360"/>
  </cacheSource>
  <cacheFields count="10">
    <cacheField name="Date" numFmtId="0">
      <sharedItems containsNonDate="0" containsString="0" containsBlank="1"/>
    </cacheField>
    <cacheField name="Impressions" numFmtId="0">
      <sharedItems containsNonDate="0" containsString="0" containsBlank="1"/>
    </cacheField>
    <cacheField name="Clicks" numFmtId="0">
      <sharedItems containsNonDate="0" containsString="0" containsBlank="1"/>
    </cacheField>
    <cacheField name="Revenue (Adv Currency)" numFmtId="0">
      <sharedItems containsNonDate="0" containsString="0" containsBlank="1"/>
    </cacheField>
    <cacheField name="Line Item" numFmtId="0">
      <sharedItems containsNonDate="0" containsString="0" containsBlank="1"/>
    </cacheField>
    <cacheField name="DEVICE[LINE ITEM]" numFmtId="0">
      <sharedItems containsNonDate="0" containsString="0" containsBlank="1" count="1">
        <m/>
      </sharedItems>
    </cacheField>
    <cacheField name="FORMAT[LINE ITEM]" numFmtId="0">
      <sharedItems containsNonDate="0" containsString="0" containsBlank="1" count="1">
        <m/>
      </sharedItems>
    </cacheField>
    <cacheField name="SOURCE[LINE ITEM]" numFmtId="0">
      <sharedItems containsNonDate="0" containsString="0" containsBlank="1"/>
    </cacheField>
    <cacheField name="STRATEGIE[LINE ITEM]" numFmtId="0">
      <sharedItems containsNonDate="0" containsString="0" containsBlank="1" count="1">
        <m/>
      </sharedItems>
    </cacheField>
    <cacheField name="VERTICALE[INSERTION ORDER]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Xavier HUE" refreshedDate="43711.45388252315" createdVersion="6" refreshedVersion="6" minRefreshableVersion="3" recordCount="1" xr:uid="{ED9ABD93-6496-5644-A9DE-B404CC6E8529}">
  <cacheSource type="worksheet">
    <worksheetSource name="Data_appnexus"/>
  </cacheSource>
  <cacheFields count="10">
    <cacheField name="day" numFmtId="0">
      <sharedItems containsNonDate="0" containsString="0" containsBlank="1"/>
    </cacheField>
    <cacheField name="imps" numFmtId="0">
      <sharedItems containsNonDate="0" containsString="0" containsBlank="1"/>
    </cacheField>
    <cacheField name="clicks" numFmtId="0">
      <sharedItems containsNonDate="0" containsString="0" containsBlank="1"/>
    </cacheField>
    <cacheField name="revenue" numFmtId="0">
      <sharedItems containsNonDate="0" containsString="0" containsBlank="1"/>
    </cacheField>
    <cacheField name="insertion_order_name" numFmtId="0">
      <sharedItems containsNonDate="0" containsString="0" containsBlank="1"/>
    </cacheField>
    <cacheField name="DEVICE[INSERTION ORDER]" numFmtId="0">
      <sharedItems containsNonDate="0" containsString="0" containsBlank="1" count="1">
        <m/>
      </sharedItems>
    </cacheField>
    <cacheField name="FORMAT[INSERTION ORDER]" numFmtId="0">
      <sharedItems containsNonDate="0" containsString="0" containsBlank="1" count="1">
        <m/>
      </sharedItems>
    </cacheField>
    <cacheField name="SOURCE[INSERTION ORDER]" numFmtId="0">
      <sharedItems containsNonDate="0" containsString="0" containsBlank="1"/>
    </cacheField>
    <cacheField name="STRATEGIE[LINE ITEM]" numFmtId="0">
      <sharedItems containsNonDate="0" containsString="0" containsBlank="1" count="1">
        <m/>
      </sharedItems>
    </cacheField>
    <cacheField name="VERTICALE[INSERTION ORDER]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x v="0"/>
    <x v="0"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x v="0"/>
    <x v="0"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9EC85B-05D1-EF4A-A7A4-38839D128D82}" name="Tableau croisé dynamique2" cacheId="9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12:D13" firstHeaderRow="0" firstDataRow="1" firstDataCol="1"/>
  <pivotFields count="10">
    <pivotField showAll="0"/>
    <pivotField dataField="1" showAll="0"/>
    <pivotField dataField="1" showAll="0"/>
    <pivotField dataField="1" showAll="0"/>
    <pivotField showAll="0"/>
    <pivotField showAll="0"/>
    <pivotField axis="axisRow" showAll="0" measureFilter="1">
      <items count="2">
        <item x="0"/>
        <item t="default"/>
      </items>
    </pivotField>
    <pivotField showAll="0"/>
    <pivotField showAll="0"/>
    <pivotField showAll="0"/>
  </pivotFields>
  <rowFields count="1">
    <field x="6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imps" fld="1" baseField="0" baseItem="0"/>
    <dataField name="Somme de clicks" fld="2" baseField="0" baseItem="0"/>
    <dataField name="Somme de revenue" fld="3" baseField="0" baseItem="0"/>
  </dataFields>
  <pivotTableStyleInfo name="PivotStyleMedium10" showRowHeaders="1" showColHeaders="1" showRowStripes="0" showColStripes="0" showLastColumn="1"/>
  <filters count="1">
    <filter fld="6" type="valueNotEqual" evalOrder="-1" id="6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960E35-7AF6-DB4E-8357-9FEAE3AB7716}" name="Tableau croisé dynamique3" cacheId="9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F18:I19" firstHeaderRow="0" firstDataRow="1" firstDataCol="1"/>
  <pivotFields count="10"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axis="axisRow" showAll="0" measureFilter="1">
      <items count="2">
        <item x="0"/>
        <item t="default"/>
      </items>
    </pivotField>
    <pivotField showAll="0"/>
  </pivotFields>
  <rowFields count="1">
    <field x="8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Impressions" fld="1" baseField="0" baseItem="0"/>
    <dataField name="Somme de Clicks" fld="2" baseField="0" baseItem="0"/>
    <dataField name="Somme de Revenue (Adv Currency)" fld="3" baseField="0" baseItem="0"/>
  </dataFields>
  <pivotTableStyleInfo name="PivotStyleMedium7" showRowHeaders="1" showColHeaders="1" showRowStripes="0" showColStripes="0" showLastColumn="1"/>
  <filters count="1">
    <filter fld="8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BA83A1-A935-2F44-B3E2-FCACEF689F82}" name="Tableau croisé dynamique8" cacheId="9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F25:I26" firstHeaderRow="0" firstDataRow="1" firstDataCol="1"/>
  <pivotFields count="10"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 measureFilter="1">
      <items count="2">
        <item x="0"/>
        <item t="default"/>
      </items>
    </pivotField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Impressions" fld="1" baseField="0" baseItem="0"/>
    <dataField name="Somme de Clicks" fld="2" baseField="0" baseItem="0"/>
    <dataField name="Somme de Revenue (Adv Currency)" fld="3" baseField="0" baseItem="0"/>
  </dataFields>
  <pivotTableStyleInfo name="PivotStyleMedium7" showRowHeaders="1" showColHeaders="1" showRowStripes="0" showColStripes="0" showLastColumn="1"/>
  <filters count="1">
    <filter fld="9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48018A-84C8-D448-B6F9-7C5ABC97B234}" name="Tableau croisé dynamique1" cacheId="9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25:D26" firstHeaderRow="0" firstDataRow="1" firstDataCol="1"/>
  <pivotFields count="10"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 measureFilter="1">
      <items count="2">
        <item x="0"/>
        <item t="default"/>
      </items>
    </pivotField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imps" fld="1" baseField="0" baseItem="0"/>
    <dataField name="Somme de clicks" fld="2" baseField="0" baseItem="0"/>
    <dataField name="Somme de revenue" fld="3" baseField="0" baseItem="0"/>
  </dataFields>
  <pivotTableStyleInfo name="PivotStyleMedium10" showRowHeaders="1" showColHeaders="1" showRowStripes="0" showColStripes="0" showLastColumn="1"/>
  <filters count="1">
    <filter fld="9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4C7230-A550-D543-8122-D81E4D4E25CE}" name="Tableau croisé dynamique5" cacheId="9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18:D19" firstHeaderRow="0" firstDataRow="1" firstDataCol="1"/>
  <pivotFields count="10"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axis="axisRow" showAll="0" measureFilter="1">
      <items count="2">
        <item x="0"/>
        <item t="default"/>
      </items>
    </pivotField>
    <pivotField showAll="0"/>
  </pivotFields>
  <rowFields count="1">
    <field x="8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imps" fld="1" baseField="0" baseItem="0"/>
    <dataField name="Somme de clicks" fld="2" baseField="0" baseItem="0"/>
    <dataField name="Somme de revenue" fld="3" baseField="0" baseItem="0"/>
  </dataFields>
  <pivotTableStyleInfo name="PivotStyleMedium10" showRowHeaders="1" showColHeaders="1" showRowStripes="0" showColStripes="0" showLastColumn="1"/>
  <filters count="1">
    <filter fld="8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A39B3B-068B-C348-8125-08BD8F401F89}" name="Tableau croisé dynamique4" cacheId="9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F5:I6" firstHeaderRow="0" firstDataRow="1" firstDataCol="1"/>
  <pivotFields count="10">
    <pivotField showAll="0"/>
    <pivotField dataField="1" showAll="0"/>
    <pivotField dataField="1" showAll="0"/>
    <pivotField dataField="1" showAll="0"/>
    <pivotField showAll="0"/>
    <pivotField axis="axisRow" showAll="0" measureFilter="1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Impressions" fld="1" baseField="0" baseItem="0"/>
    <dataField name="Somme de Clicks" fld="2" baseField="0" baseItem="0"/>
    <dataField name="Somme de Revenue (Adv Currency)" fld="3" baseField="0" baseItem="0"/>
  </dataFields>
  <pivotTableStyleInfo name="PivotStyleMedium7" showRowHeaders="1" showColHeaders="1" showRowStripes="0" showColStripes="0" showLastColumn="1"/>
  <filters count="1">
    <filter fld="5" type="valueNotEqual" evalOrder="-1" id="3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34496B-4553-214C-BFF2-9974F6F4D672}" name="Tableau croisé dynamique7" cacheId="9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5:D6" firstHeaderRow="0" firstDataRow="1" firstDataCol="1"/>
  <pivotFields count="10">
    <pivotField showAll="0"/>
    <pivotField dataField="1" showAll="0"/>
    <pivotField dataField="1" showAll="0"/>
    <pivotField dataField="1" showAll="0"/>
    <pivotField showAll="0"/>
    <pivotField axis="axisRow" showAll="0" measureFilter="1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imps" fld="1" baseField="0" baseItem="0"/>
    <dataField name="Somme de clicks" fld="2" baseField="0" baseItem="0"/>
    <dataField name="Somme de revenue" fld="3" baseField="0" baseItem="0"/>
  </dataFields>
  <pivotTableStyleInfo name="PivotStyleMedium10" showRowHeaders="1" showColHeaders="1" showRowStripes="0" showColStripes="0" showLastColumn="1"/>
  <filters count="1">
    <filter fld="5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5AB4E1-1340-DC41-98AB-57D7FE831E4E}" name="Tableau croisé dynamique6" cacheId="9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F12:I13" firstHeaderRow="0" firstDataRow="1" firstDataCol="1"/>
  <pivotFields count="10">
    <pivotField showAll="0"/>
    <pivotField dataField="1" showAll="0"/>
    <pivotField dataField="1" showAll="0"/>
    <pivotField dataField="1" showAll="0"/>
    <pivotField showAll="0"/>
    <pivotField showAll="0"/>
    <pivotField axis="axisRow" showAll="0" measureFilter="1">
      <items count="2">
        <item x="0"/>
        <item t="default"/>
      </items>
    </pivotField>
    <pivotField showAll="0"/>
    <pivotField showAll="0"/>
    <pivotField showAll="0"/>
  </pivotFields>
  <rowFields count="1">
    <field x="6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Impressions" fld="1" baseField="0" baseItem="0"/>
    <dataField name="Somme de Clicks" fld="2" baseField="0" baseItem="0"/>
    <dataField name="Somme de Revenue (Adv Currency)" fld="3" baseField="0" baseItem="0"/>
  </dataFields>
  <pivotTableStyleInfo name="PivotStyleMedium7" showRowHeaders="1" showColHeaders="1" showRowStripes="0" showColStripes="0" showLastColumn="1"/>
  <filters count="1">
    <filter fld="6" type="valueNotEqual" evalOrder="-1" id="3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Labels_appnexus" displayName="Labels_appnexus" ref="A1:K2" insertRow="1" insertRowShift="1" totalsRowShown="0">
  <autoFilter ref="A1:K2" xr:uid="{00000000-0009-0000-0100-000002000000}"/>
  <tableColumns count="11">
    <tableColumn id="1" xr3:uid="{00000000-0010-0000-0000-000001000000}" name="day"/>
    <tableColumn id="9" xr3:uid="{7096ACCC-C018-AB42-8079-A9F09FF09157}" name="advertiser_id"/>
    <tableColumn id="2" xr3:uid="{00000000-0010-0000-0000-000002000000}" name="advertiser_name"/>
    <tableColumn id="3" xr3:uid="{00000000-0010-0000-0000-000003000000}" name="insertion_order_id"/>
    <tableColumn id="4" xr3:uid="{00000000-0010-0000-0000-000004000000}" name="insertion_order_name"/>
    <tableColumn id="5" xr3:uid="{00000000-0010-0000-0000-000005000000}" name="line_item_id"/>
    <tableColumn id="6" xr3:uid="{00000000-0010-0000-0000-000006000000}" name="line_item_name"/>
    <tableColumn id="7" xr3:uid="{00000000-0010-0000-0000-000007000000}" name="imps"/>
    <tableColumn id="8" xr3:uid="{00000000-0010-0000-0000-000008000000}" name="clicks"/>
    <tableColumn id="10" xr3:uid="{D3C8F690-1245-2448-88ED-4BDD55F40ED3}" name="revenue"/>
    <tableColumn id="11" xr3:uid="{E7683100-4B3C-FD49-929B-3415383D26B7}" name="tradelabe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_appnexus" displayName="Data_appnexus" ref="A1:J2" insertRow="1" totalsRowShown="0">
  <autoFilter ref="A1:J2" xr:uid="{00000000-0009-0000-0100-000001000000}"/>
  <tableColumns count="10">
    <tableColumn id="5" xr3:uid="{00000000-0010-0000-0100-000005000000}" name="day"/>
    <tableColumn id="7" xr3:uid="{77A853BE-08CD-CF42-B03B-608F7B56A892}" name="imps"/>
    <tableColumn id="6" xr3:uid="{00000000-0010-0000-0100-000006000000}" name="clicks"/>
    <tableColumn id="2" xr3:uid="{00000000-0010-0000-0100-000002000000}" name="revenue"/>
    <tableColumn id="9" xr3:uid="{B9B4B219-1D7A-2241-9DBE-16D2FADC8539}" name="insertion_order_name"/>
    <tableColumn id="1" xr3:uid="{00000000-0010-0000-0100-000001000000}" name="DEVICE[INSERTION ORDER]"/>
    <tableColumn id="3" xr3:uid="{00000000-0010-0000-0100-000003000000}" name="FORMAT[INSERTION ORDER]"/>
    <tableColumn id="4" xr3:uid="{C5FCCBD7-B4D9-9047-A5C7-43BF2DB3006F}" name="SOURCE[INSERTION ORDER]"/>
    <tableColumn id="8" xr3:uid="{E5D67AFA-E76A-9141-A09F-C8022BECC295}" name="STRATEGIE[LINE ITEM]"/>
    <tableColumn id="10" xr3:uid="{963E3B8C-556B-274C-838F-8FE31DFE7873}" name="VERTICALE[INSERTION ORDER]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Labels_dv360" displayName="Labels_dv360" ref="A1:K2" insertRow="1" totalsRowShown="0">
  <autoFilter ref="A1:K2" xr:uid="{00000000-0009-0000-0100-000003000000}"/>
  <tableColumns count="11">
    <tableColumn id="1" xr3:uid="{00000000-0010-0000-0200-000001000000}" name="Date"/>
    <tableColumn id="9" xr3:uid="{3C6ADCD4-938A-5C4D-9BAE-8C0FA1015BC8}" name="Advertiser"/>
    <tableColumn id="2" xr3:uid="{00000000-0010-0000-0200-000002000000}" name="Insertion Order ID"/>
    <tableColumn id="3" xr3:uid="{00000000-0010-0000-0200-000003000000}" name="Insertion Order"/>
    <tableColumn id="4" xr3:uid="{00000000-0010-0000-0200-000004000000}" name="Line Item"/>
    <tableColumn id="5" xr3:uid="{00000000-0010-0000-0200-000005000000}" name="Line Item ID"/>
    <tableColumn id="6" xr3:uid="{00000000-0010-0000-0200-000006000000}" name="Advertiser Currency"/>
    <tableColumn id="7" xr3:uid="{00000000-0010-0000-0200-000007000000}" name="Impressions"/>
    <tableColumn id="8" xr3:uid="{00000000-0010-0000-0200-000008000000}" name="Clicks"/>
    <tableColumn id="10" xr3:uid="{3A260E9B-1835-4642-9632-A96539CAE2CF}" name="Revenue (Adv Currency)"/>
    <tableColumn id="11" xr3:uid="{ABD696A5-1085-F942-9434-72A96579573C}" name="tradelabe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Data_dv360" displayName="Data_dv360" ref="A1:J2" insertRow="1" totalsRowShown="0" headerRowBorderDxfId="0">
  <autoFilter ref="A1:J2" xr:uid="{00000000-0009-0000-0100-000005000000}"/>
  <tableColumns count="10">
    <tableColumn id="9" xr3:uid="{00000000-0010-0000-0300-000009000000}" name="Date"/>
    <tableColumn id="6" xr3:uid="{983358A0-43F1-464F-BA4F-C257ED14EB0B}" name="Impressions"/>
    <tableColumn id="2" xr3:uid="{00000000-0010-0000-0300-000002000000}" name="Clicks"/>
    <tableColumn id="3" xr3:uid="{00000000-0010-0000-0300-000003000000}" name="Revenue (Adv Currency)"/>
    <tableColumn id="8" xr3:uid="{B652D0DF-2E8D-E54C-8351-7F7C585B8B8A}" name="Line Item"/>
    <tableColumn id="4" xr3:uid="{00000000-0010-0000-0300-000004000000}" name="DEVICE[LINE ITEM]"/>
    <tableColumn id="1" xr3:uid="{00000000-0010-0000-0300-000001000000}" name="FORMAT[LINE ITEM]"/>
    <tableColumn id="5" xr3:uid="{B1AE584B-54C6-7246-B8D2-43139AC7A2B0}" name="SOURCE[LINE ITEM]"/>
    <tableColumn id="7" xr3:uid="{85D595BA-8B70-F644-90ED-F1C37F8D3868}" name="STRATEGIE[LINE ITEM]"/>
    <tableColumn id="10" xr3:uid="{C3764F5B-3B70-7745-A162-EC8F11062B14}" name="VERTICALE[INSERTION ORDER]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Bureau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#@Profiling@#" TargetMode="External"/><Relationship Id="rId7" Type="http://schemas.openxmlformats.org/officeDocument/2006/relationships/hyperlink" Target="mailto:#@Desktop@#" TargetMode="External"/><Relationship Id="rId2" Type="http://schemas.openxmlformats.org/officeDocument/2006/relationships/hyperlink" Target="mailto:#@Desktop@#" TargetMode="External"/><Relationship Id="rId1" Type="http://schemas.openxmlformats.org/officeDocument/2006/relationships/hyperlink" Target="mailto:#@Mobile@#" TargetMode="External"/><Relationship Id="rId6" Type="http://schemas.openxmlformats.org/officeDocument/2006/relationships/hyperlink" Target="mailto:#@Mobile@#" TargetMode="External"/><Relationship Id="rId5" Type="http://schemas.openxmlformats.org/officeDocument/2006/relationships/hyperlink" Target="mailto:#@Retargeting@#" TargetMode="External"/><Relationship Id="rId4" Type="http://schemas.openxmlformats.org/officeDocument/2006/relationships/hyperlink" Target="mailto:#@Prospection@#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K1"/>
  <sheetViews>
    <sheetView workbookViewId="0">
      <selection activeCell="J1" sqref="J1"/>
    </sheetView>
  </sheetViews>
  <sheetFormatPr baseColWidth="10" defaultRowHeight="16" x14ac:dyDescent="0.2"/>
  <cols>
    <col min="1" max="1" width="12.1640625" customWidth="1"/>
    <col min="2" max="2" width="19.1640625" customWidth="1"/>
    <col min="3" max="3" width="22.33203125" customWidth="1"/>
    <col min="4" max="4" width="14.1640625" customWidth="1"/>
    <col min="5" max="5" width="17.1640625" customWidth="1"/>
    <col min="8" max="8" width="15.5" customWidth="1"/>
    <col min="9" max="9" width="12.1640625" customWidth="1"/>
  </cols>
  <sheetData>
    <row r="1" spans="1:11" x14ac:dyDescent="0.2">
      <c r="A1" t="s">
        <v>28</v>
      </c>
      <c r="B1" t="s">
        <v>31</v>
      </c>
      <c r="C1" t="s">
        <v>32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33</v>
      </c>
      <c r="K1" t="s">
        <v>6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3"/>
  <dimension ref="A1:J1"/>
  <sheetViews>
    <sheetView workbookViewId="0">
      <selection activeCell="F14" sqref="F14"/>
    </sheetView>
  </sheetViews>
  <sheetFormatPr baseColWidth="10" defaultRowHeight="16" x14ac:dyDescent="0.2"/>
  <cols>
    <col min="1" max="1" width="7.6640625" bestFit="1" customWidth="1"/>
    <col min="2" max="2" width="7.6640625" customWidth="1"/>
    <col min="3" max="3" width="8.1640625" bestFit="1" customWidth="1"/>
    <col min="4" max="4" width="15.5" bestFit="1" customWidth="1"/>
    <col min="5" max="5" width="15.5" customWidth="1"/>
    <col min="6" max="6" width="26.5" bestFit="1" customWidth="1"/>
    <col min="7" max="8" width="27.83203125" bestFit="1" customWidth="1"/>
    <col min="9" max="9" width="22.6640625" bestFit="1" customWidth="1"/>
    <col min="10" max="10" width="30" bestFit="1" customWidth="1"/>
  </cols>
  <sheetData>
    <row r="1" spans="1:10" x14ac:dyDescent="0.2">
      <c r="A1" t="s">
        <v>28</v>
      </c>
      <c r="B1" t="s">
        <v>4</v>
      </c>
      <c r="C1" t="s">
        <v>5</v>
      </c>
      <c r="D1" t="s">
        <v>33</v>
      </c>
      <c r="E1" t="s">
        <v>1</v>
      </c>
      <c r="F1" t="s">
        <v>7</v>
      </c>
      <c r="G1" t="s">
        <v>16</v>
      </c>
      <c r="H1" t="s">
        <v>26</v>
      </c>
      <c r="I1" t="s">
        <v>34</v>
      </c>
      <c r="J1" t="s">
        <v>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2"/>
  <dimension ref="A1:K1"/>
  <sheetViews>
    <sheetView workbookViewId="0">
      <selection activeCell="E1" sqref="E1"/>
    </sheetView>
  </sheetViews>
  <sheetFormatPr baseColWidth="10" defaultRowHeight="16" x14ac:dyDescent="0.2"/>
  <cols>
    <col min="1" max="3" width="20.1640625" customWidth="1"/>
    <col min="4" max="4" width="16.33203125" customWidth="1"/>
    <col min="5" max="5" width="27.83203125" customWidth="1"/>
    <col min="6" max="7" width="13.6640625" customWidth="1"/>
    <col min="8" max="8" width="23.6640625" customWidth="1"/>
    <col min="9" max="9" width="11.5" customWidth="1"/>
  </cols>
  <sheetData>
    <row r="1" spans="1:11" x14ac:dyDescent="0.2">
      <c r="A1" t="s">
        <v>27</v>
      </c>
      <c r="B1" t="s">
        <v>14</v>
      </c>
      <c r="C1" t="s">
        <v>29</v>
      </c>
      <c r="D1" t="s">
        <v>30</v>
      </c>
      <c r="E1" t="s">
        <v>9</v>
      </c>
      <c r="F1" t="s">
        <v>10</v>
      </c>
      <c r="G1" t="s">
        <v>8</v>
      </c>
      <c r="H1" t="s">
        <v>11</v>
      </c>
      <c r="I1" t="s">
        <v>13</v>
      </c>
      <c r="J1" t="s">
        <v>12</v>
      </c>
      <c r="K1" t="s">
        <v>6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le4"/>
  <dimension ref="A1:J2"/>
  <sheetViews>
    <sheetView workbookViewId="0">
      <selection activeCell="J1" sqref="J1"/>
    </sheetView>
  </sheetViews>
  <sheetFormatPr baseColWidth="10" defaultRowHeight="16" x14ac:dyDescent="0.2"/>
  <cols>
    <col min="1" max="1" width="13.6640625" bestFit="1" customWidth="1"/>
    <col min="2" max="2" width="13.6640625" customWidth="1"/>
    <col min="3" max="3" width="8.33203125" bestFit="1" customWidth="1"/>
    <col min="4" max="4" width="23.83203125" bestFit="1" customWidth="1"/>
    <col min="5" max="5" width="23.83203125" customWidth="1"/>
    <col min="6" max="6" width="19.33203125" bestFit="1" customWidth="1"/>
    <col min="7" max="7" width="20.83203125" bestFit="1" customWidth="1"/>
    <col min="8" max="8" width="20.33203125" bestFit="1" customWidth="1"/>
    <col min="9" max="9" width="22.6640625" bestFit="1" customWidth="1"/>
    <col min="10" max="10" width="30" bestFit="1" customWidth="1"/>
  </cols>
  <sheetData>
    <row r="1" spans="1:10" ht="17" thickBot="1" x14ac:dyDescent="0.25">
      <c r="A1" t="s">
        <v>27</v>
      </c>
      <c r="B1" t="s">
        <v>11</v>
      </c>
      <c r="C1" t="s">
        <v>13</v>
      </c>
      <c r="D1" t="s">
        <v>12</v>
      </c>
      <c r="E1" t="s">
        <v>9</v>
      </c>
      <c r="F1" t="s">
        <v>15</v>
      </c>
      <c r="G1" s="1" t="s">
        <v>17</v>
      </c>
      <c r="H1" s="1" t="s">
        <v>25</v>
      </c>
      <c r="I1" s="1" t="s">
        <v>34</v>
      </c>
      <c r="J1" s="1" t="s">
        <v>35</v>
      </c>
    </row>
    <row r="2" spans="1:10" ht="17" thickTop="1" x14ac:dyDescent="0.2"/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B9B61-B86B-1B4F-BD69-303C9331DB63}">
  <dimension ref="A2:I26"/>
  <sheetViews>
    <sheetView workbookViewId="0">
      <selection activeCell="C25" sqref="C25"/>
    </sheetView>
  </sheetViews>
  <sheetFormatPr baseColWidth="10" defaultRowHeight="16" x14ac:dyDescent="0.2"/>
  <cols>
    <col min="1" max="1" width="20.1640625" bestFit="1" customWidth="1"/>
    <col min="2" max="2" width="14.5" bestFit="1" customWidth="1"/>
    <col min="3" max="3" width="15" bestFit="1" customWidth="1"/>
    <col min="4" max="4" width="17.33203125" bestFit="1" customWidth="1"/>
    <col min="6" max="6" width="19.83203125" bestFit="1" customWidth="1"/>
    <col min="7" max="7" width="20.5" bestFit="1" customWidth="1"/>
    <col min="8" max="8" width="15" bestFit="1" customWidth="1"/>
    <col min="9" max="9" width="30.33203125" bestFit="1" customWidth="1"/>
  </cols>
  <sheetData>
    <row r="2" spans="1:9" x14ac:dyDescent="0.2">
      <c r="A2" s="2"/>
      <c r="F2" s="2"/>
    </row>
    <row r="4" spans="1:9" x14ac:dyDescent="0.2">
      <c r="A4" s="2" t="s">
        <v>36</v>
      </c>
      <c r="F4" s="2" t="s">
        <v>36</v>
      </c>
    </row>
    <row r="5" spans="1:9" x14ac:dyDescent="0.2">
      <c r="A5" s="5" t="s">
        <v>18</v>
      </c>
      <c r="B5" t="s">
        <v>19</v>
      </c>
      <c r="C5" t="s">
        <v>20</v>
      </c>
      <c r="D5" t="s">
        <v>40</v>
      </c>
      <c r="E5" s="5"/>
      <c r="F5" s="5" t="s">
        <v>18</v>
      </c>
      <c r="G5" t="s">
        <v>21</v>
      </c>
      <c r="H5" t="s">
        <v>22</v>
      </c>
      <c r="I5" t="s">
        <v>23</v>
      </c>
    </row>
    <row r="6" spans="1:9" x14ac:dyDescent="0.2">
      <c r="A6" s="3" t="s">
        <v>24</v>
      </c>
      <c r="B6" s="4"/>
      <c r="C6" s="4"/>
      <c r="D6" s="4"/>
      <c r="F6" s="3" t="s">
        <v>24</v>
      </c>
      <c r="G6" s="4"/>
      <c r="H6" s="4"/>
      <c r="I6" s="4"/>
    </row>
    <row r="11" spans="1:9" x14ac:dyDescent="0.2">
      <c r="A11" s="2" t="s">
        <v>37</v>
      </c>
      <c r="F11" s="2" t="s">
        <v>37</v>
      </c>
    </row>
    <row r="12" spans="1:9" x14ac:dyDescent="0.2">
      <c r="A12" s="5" t="s">
        <v>18</v>
      </c>
      <c r="B12" t="s">
        <v>19</v>
      </c>
      <c r="C12" t="s">
        <v>20</v>
      </c>
      <c r="D12" t="s">
        <v>40</v>
      </c>
      <c r="E12" s="5"/>
      <c r="F12" s="5" t="s">
        <v>18</v>
      </c>
      <c r="G12" t="s">
        <v>21</v>
      </c>
      <c r="H12" t="s">
        <v>22</v>
      </c>
      <c r="I12" t="s">
        <v>23</v>
      </c>
    </row>
    <row r="13" spans="1:9" x14ac:dyDescent="0.2">
      <c r="A13" s="3" t="s">
        <v>24</v>
      </c>
      <c r="B13" s="4"/>
      <c r="C13" s="4"/>
      <c r="D13" s="4"/>
      <c r="F13" s="3" t="s">
        <v>24</v>
      </c>
      <c r="G13" s="4"/>
      <c r="H13" s="4"/>
      <c r="I13" s="4"/>
    </row>
    <row r="17" spans="1:9" x14ac:dyDescent="0.2">
      <c r="A17" s="6" t="s">
        <v>38</v>
      </c>
      <c r="F17" s="6" t="s">
        <v>38</v>
      </c>
    </row>
    <row r="18" spans="1:9" x14ac:dyDescent="0.2">
      <c r="A18" s="5" t="s">
        <v>18</v>
      </c>
      <c r="B18" t="s">
        <v>19</v>
      </c>
      <c r="C18" t="s">
        <v>20</v>
      </c>
      <c r="D18" t="s">
        <v>40</v>
      </c>
      <c r="E18" s="5"/>
      <c r="F18" s="5" t="s">
        <v>18</v>
      </c>
      <c r="G18" t="s">
        <v>21</v>
      </c>
      <c r="H18" t="s">
        <v>22</v>
      </c>
      <c r="I18" t="s">
        <v>23</v>
      </c>
    </row>
    <row r="19" spans="1:9" x14ac:dyDescent="0.2">
      <c r="A19" s="3" t="s">
        <v>24</v>
      </c>
      <c r="B19" s="4"/>
      <c r="C19" s="4"/>
      <c r="D19" s="4"/>
      <c r="F19" s="3" t="s">
        <v>24</v>
      </c>
      <c r="G19" s="4"/>
      <c r="H19" s="4"/>
      <c r="I19" s="4"/>
    </row>
    <row r="24" spans="1:9" x14ac:dyDescent="0.2">
      <c r="A24" s="6" t="s">
        <v>39</v>
      </c>
      <c r="F24" s="2" t="s">
        <v>39</v>
      </c>
    </row>
    <row r="25" spans="1:9" x14ac:dyDescent="0.2">
      <c r="A25" s="5" t="s">
        <v>18</v>
      </c>
      <c r="B25" t="s">
        <v>19</v>
      </c>
      <c r="C25" t="s">
        <v>20</v>
      </c>
      <c r="D25" t="s">
        <v>40</v>
      </c>
      <c r="E25" s="5"/>
      <c r="F25" s="5" t="s">
        <v>18</v>
      </c>
      <c r="G25" t="s">
        <v>21</v>
      </c>
      <c r="H25" t="s">
        <v>22</v>
      </c>
      <c r="I25" t="s">
        <v>23</v>
      </c>
    </row>
    <row r="26" spans="1:9" x14ac:dyDescent="0.2">
      <c r="A26" s="3" t="s">
        <v>24</v>
      </c>
      <c r="B26" s="4"/>
      <c r="C26" s="4"/>
      <c r="D26" s="4"/>
      <c r="F26" s="3" t="s">
        <v>24</v>
      </c>
      <c r="G26" s="4"/>
      <c r="H26" s="4"/>
      <c r="I26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59EA8-5AB3-0145-B308-8B2FCFD371BC}">
  <dimension ref="B1:J80"/>
  <sheetViews>
    <sheetView tabSelected="1" workbookViewId="0">
      <selection activeCell="I10" sqref="I10"/>
    </sheetView>
  </sheetViews>
  <sheetFormatPr baseColWidth="10" defaultRowHeight="16" x14ac:dyDescent="0.2"/>
  <cols>
    <col min="2" max="2" width="16.6640625" bestFit="1" customWidth="1"/>
    <col min="5" max="5" width="9.33203125" customWidth="1"/>
    <col min="10" max="10" width="13.33203125" bestFit="1" customWidth="1"/>
  </cols>
  <sheetData>
    <row r="1" spans="2:10" x14ac:dyDescent="0.2">
      <c r="B1" s="7" t="s">
        <v>41</v>
      </c>
    </row>
    <row r="2" spans="2:10" x14ac:dyDescent="0.2">
      <c r="B2" s="8" t="s">
        <v>42</v>
      </c>
    </row>
    <row r="5" spans="2:10" x14ac:dyDescent="0.2">
      <c r="B5" s="11" t="s">
        <v>43</v>
      </c>
      <c r="C5" s="11" t="s">
        <v>44</v>
      </c>
      <c r="D5" s="11" t="s">
        <v>11</v>
      </c>
      <c r="E5" s="11" t="s">
        <v>45</v>
      </c>
    </row>
    <row r="6" spans="2:10" x14ac:dyDescent="0.2">
      <c r="B6" s="12" t="s">
        <v>49</v>
      </c>
      <c r="C6" s="9" t="e">
        <f>IF($B$2="All",SUMIFS(Data_dv360!D2:D7028,Data_dv360!F2:F7028,Synthèse!B6)+SUMIFS(Data_appnexus!D2:D300,Data_appnexus[DEVICE'[INSERTION ORDER']],Synthèse!B6),IF($B$2="DV360",SUMIFS(Data_dv360!D2:D7028,Data_dv360!F2:F7028,Synthèse!B6),SUMIFS(Data_appnexus!D2:D300,Data_appnexus[DEVICE'[INSERTION ORDER']],Synthèse!B6)))</f>
        <v>#VALUE!</v>
      </c>
      <c r="D6" s="10">
        <f>IF($B$2="All",SUMIFS(Data_appnexus[imps],Data_appnexus[DEVICE'[INSERTION ORDER']],Synthèse!B6)+SUMIFS(Data_dv360[Impressions],Data_dv360[DEVICE'[LINE ITEM']],Synthèse!B6),IF(Synthèse!$B$2="Appnexus",SUMIFS(Data_appnexus[imps],Data_appnexus[DEVICE'[INSERTION ORDER']],Synthèse!B6),SUMIFS(Data_dv360[Impressions],Data_dv360[DEVICE'[LINE ITEM']],Synthèse!B6)))</f>
        <v>0</v>
      </c>
      <c r="E6" s="9" t="e">
        <f>C6/D6*1000</f>
        <v>#VALUE!</v>
      </c>
      <c r="J6" s="12" t="s">
        <v>49</v>
      </c>
    </row>
    <row r="7" spans="2:10" x14ac:dyDescent="0.2">
      <c r="B7" s="12" t="s">
        <v>50</v>
      </c>
      <c r="C7" s="9" t="e">
        <f>IF($B$2="All",SUMIFS(Data_dv360!D3:D7029,Data_dv360!F3:F7029,Synthèse!B7)+SUMIFS(Data_appnexus!D3:D301,Data_appnexus[DEVICE'[INSERTION ORDER']],Synthèse!B7),IF($B$2="DV360",SUMIFS(Data_dv360!D3:D7029,Data_dv360!F3:F7029,Synthèse!B7),SUMIFS(Data_appnexus!D3:D301,Data_appnexus[DEVICE'[INSERTION ORDER']],Synthèse!B7)))</f>
        <v>#VALUE!</v>
      </c>
      <c r="D7" s="10">
        <f>IF($B$2="All",SUMIFS(Data_appnexus[imps],Data_appnexus[DEVICE'[INSERTION ORDER']],Synthèse!B7)+SUMIFS(Data_dv360[Impressions],Data_dv360[DEVICE'[LINE ITEM']],Synthèse!B7),IF(Synthèse!$B$2="Appnexus",SUMIFS(Data_appnexus[imps],Data_appnexus[DEVICE'[INSERTION ORDER']],Synthèse!B7),SUMIFS(Data_dv360[Impressions],Data_dv360[DEVICE'[LINE ITEM']],Synthèse!B7)))</f>
        <v>0</v>
      </c>
      <c r="E7" s="9" t="e">
        <f>C7/D7*1000</f>
        <v>#VALUE!</v>
      </c>
      <c r="J7" s="12" t="s">
        <v>50</v>
      </c>
    </row>
    <row r="10" spans="2:10" x14ac:dyDescent="0.2">
      <c r="B10" s="11" t="s">
        <v>46</v>
      </c>
      <c r="C10" s="11" t="s">
        <v>44</v>
      </c>
      <c r="D10" s="11" t="s">
        <v>11</v>
      </c>
      <c r="E10" s="11" t="s">
        <v>45</v>
      </c>
    </row>
    <row r="11" spans="2:10" x14ac:dyDescent="0.2">
      <c r="B11" s="12" t="s">
        <v>51</v>
      </c>
      <c r="C11" s="9">
        <f>IF($B$2="All",SUMIFS(Data_appnexus[revenue],Data_appnexus[STRATEGIE'[LINE ITEM']],Synthèse!B11)+SUMIFS(Data_dv360[Revenue (Adv Currency)],Data_dv360[STRATEGIE'[LINE ITEM']],Synthèse!B11),IF(Synthèse!$B$2="Appnexus",SUMIFS(Data_appnexus[revenue],Data_appnexus[STRATEGIE'[LINE ITEM']],Synthèse!B11),SUMIFS(Data_dv360[Revenue (Adv Currency)],Data_dv360[STRATEGIE'[LINE ITEM']],Synthèse!B11)))</f>
        <v>0</v>
      </c>
      <c r="D11" s="10">
        <f>IF($B$2="All",SUMIFS(Data_appnexus[imps],Data_appnexus[STRATEGIE'[LINE ITEM']],Synthèse!B11)+SUMIFS(Data_dv360[Impressions],Data_dv360[STRATEGIE'[LINE ITEM']],Synthèse!B11),IF(Synthèse!$B$2="Appnexus",SUMIFS(Data_appnexus[imps],Data_appnexus[STRATEGIE'[LINE ITEM']],Synthèse!B11),SUMIFS(Data_dv360[Impressions],Data_dv360[STRATEGIE'[LINE ITEM']],Synthèse!B11)))</f>
        <v>0</v>
      </c>
      <c r="E11" s="9" t="e">
        <f>C11/D11*1000</f>
        <v>#DIV/0!</v>
      </c>
    </row>
    <row r="12" spans="2:10" x14ac:dyDescent="0.2">
      <c r="B12" s="12" t="s">
        <v>52</v>
      </c>
      <c r="C12" s="9">
        <f>IF($B$2="All",SUMIFS(Data_appnexus[revenue],Data_appnexus[STRATEGIE'[LINE ITEM']],Synthèse!B12)+SUMIFS(Data_dv360[Revenue (Adv Currency)],Data_dv360[STRATEGIE'[LINE ITEM']],Synthèse!B12),IF(Synthèse!$B$2="Appnexus",SUMIFS(Data_appnexus[revenue],Data_appnexus[STRATEGIE'[LINE ITEM']],Synthèse!B12),SUMIFS(Data_dv360[Revenue (Adv Currency)],Data_dv360[STRATEGIE'[LINE ITEM']],Synthèse!B12)))</f>
        <v>0</v>
      </c>
      <c r="D12" s="10">
        <f>IF($B$2="All",SUMIFS(Data_appnexus[imps],Data_appnexus[STRATEGIE'[LINE ITEM']],Synthèse!B12)+SUMIFS(Data_dv360[Impressions],Data_dv360[STRATEGIE'[LINE ITEM']],Synthèse!B12),IF(Synthèse!$B$2="Appnexus",SUMIFS(Data_appnexus[imps],Data_appnexus[STRATEGIE'[LINE ITEM']],Synthèse!B12),SUMIFS(Data_dv360[Impressions],Data_dv360[STRATEGIE'[LINE ITEM']],Synthèse!B12)))</f>
        <v>0</v>
      </c>
      <c r="E12" s="9" t="e">
        <f t="shared" ref="E12:E13" si="0">C12/D12*1000</f>
        <v>#DIV/0!</v>
      </c>
    </row>
    <row r="13" spans="2:10" x14ac:dyDescent="0.2">
      <c r="B13" s="12" t="s">
        <v>53</v>
      </c>
      <c r="C13" s="9">
        <f>IF($B$2="All",SUMIFS(Data_appnexus[revenue],Data_appnexus[STRATEGIE'[LINE ITEM']],Synthèse!B13)+SUMIFS(Data_dv360[Revenue (Adv Currency)],Data_dv360[STRATEGIE'[LINE ITEM']],Synthèse!B13),IF(Synthèse!$B$2="Appnexus",SUMIFS(Data_appnexus[revenue],Data_appnexus[STRATEGIE'[LINE ITEM']],Synthèse!B13),SUMIFS(Data_dv360[Revenue (Adv Currency)],Data_dv360[STRATEGIE'[LINE ITEM']],Synthèse!B13)))</f>
        <v>0</v>
      </c>
      <c r="D13" s="10">
        <f>IF($B$2="All",SUMIFS(Data_appnexus[imps],Data_appnexus[STRATEGIE'[LINE ITEM']],Synthèse!B13)+SUMIFS(Data_dv360[Impressions],Data_dv360[STRATEGIE'[LINE ITEM']],Synthèse!B13),IF(Synthèse!$B$2="Appnexus",SUMIFS(Data_appnexus[imps],Data_appnexus[STRATEGIE'[LINE ITEM']],Synthèse!B13),SUMIFS(Data_dv360[Impressions],Data_dv360[STRATEGIE'[LINE ITEM']],Synthèse!B13)))</f>
        <v>0</v>
      </c>
      <c r="E13" s="9" t="e">
        <f t="shared" si="0"/>
        <v>#DIV/0!</v>
      </c>
    </row>
    <row r="78" spans="3:3" x14ac:dyDescent="0.2">
      <c r="C78" t="s">
        <v>47</v>
      </c>
    </row>
    <row r="79" spans="3:3" x14ac:dyDescent="0.2">
      <c r="C79" t="s">
        <v>48</v>
      </c>
    </row>
    <row r="80" spans="3:3" x14ac:dyDescent="0.2">
      <c r="C80" t="s">
        <v>42</v>
      </c>
    </row>
  </sheetData>
  <dataValidations count="1">
    <dataValidation type="list" allowBlank="1" showInputMessage="1" showErrorMessage="1" sqref="B2" xr:uid="{D1EA76CD-7AEA-3C43-8662-BE8152D379C0}">
      <formula1>$C$78:$C$80</formula1>
    </dataValidation>
  </dataValidations>
  <hyperlinks>
    <hyperlink ref="B6" r:id="rId1" xr:uid="{4103CA60-5EF3-2644-B23B-92F7A0A62D70}"/>
    <hyperlink ref="B7" r:id="rId2" xr:uid="{E9615DCC-04A9-644A-9F77-6C33C52FD906}"/>
    <hyperlink ref="B11" r:id="rId3" xr:uid="{447E84A8-5CAF-D04A-AF23-3494CA82C645}"/>
    <hyperlink ref="B12" r:id="rId4" xr:uid="{59A18269-F5FE-A74B-9A20-B271841CEE54}"/>
    <hyperlink ref="B13" r:id="rId5" xr:uid="{A74B878B-9A40-8E4A-B129-644D19BBE757}"/>
    <hyperlink ref="J6" r:id="rId6" xr:uid="{D560B691-08D5-9645-A32E-23212901030A}"/>
    <hyperlink ref="J7" r:id="rId7" xr:uid="{CFA57C15-4A5C-2E44-883A-3A789C8DD90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Labels_appnexus</vt:lpstr>
      <vt:lpstr>Data_appnexus</vt:lpstr>
      <vt:lpstr>Labels_dv360</vt:lpstr>
      <vt:lpstr>Data_dv360</vt:lpstr>
      <vt:lpstr>TCD</vt:lpstr>
      <vt:lpstr>Synthèse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de Microsoft Office</dc:creator>
  <cp:lastModifiedBy>Xavier HUE</cp:lastModifiedBy>
  <dcterms:created xsi:type="dcterms:W3CDTF">2019-07-08T14:05:11Z</dcterms:created>
  <dcterms:modified xsi:type="dcterms:W3CDTF">2019-09-03T08:54:06Z</dcterms:modified>
</cp:coreProperties>
</file>